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ts" sheetId="1" state="visible" r:id="rId1"/>
    <sheet name="Executive Summary" sheetId="2" state="visible" r:id="rId2"/>
    <sheet name="By Service" sheetId="3" state="visible" r:id="rId3"/>
    <sheet name="By Subscription" sheetId="4" state="visible" r:id="rId4"/>
    <sheet name="Monthly Trend" sheetId="5" state="visible" r:id="rId5"/>
    <sheet name="Top Resources" sheetId="6" state="visible" r:id="rId6"/>
    <sheet name="Reserved Instances" sheetId="7" state="visible" r:id="rId7"/>
    <sheet name="Savings Plans" sheetId="8" state="visible" r:id="rId8"/>
    <sheet name="Azure Hybrid Benef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Savings by Category</a:t>
            </a:r>
          </a:p>
        </rich>
      </tx>
    </title>
    <plotArea>
      <pieChart>
        <varyColors val="1"/>
        <ser>
          <idx val="0"/>
          <order val="0"/>
          <tx>
            <strRef>
              <f>'Charts'!B20</f>
            </strRef>
          </tx>
          <spPr>
            <a:ln>
              <a:prstDash val="solid"/>
            </a:ln>
          </spPr>
          <cat>
            <numRef>
              <f>'Charts'!$A$21:$A$25</f>
            </numRef>
          </cat>
          <val>
            <numRef>
              <f>'Charts'!$B$21:$B$25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Savings Trend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'Charts'!B30</f>
            </strRef>
          </tx>
          <spPr>
            <a:ln>
              <a:prstDash val="solid"/>
            </a:ln>
          </spPr>
          <cat>
            <numRef>
              <f>'Charts'!$A$31:$A$33</f>
            </numRef>
          </cat>
          <val>
            <numRef>
              <f>'Charts'!$B$31:$B$33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Savings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0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"/>
  <sheetViews>
    <sheetView workbookViewId="0">
      <selection activeCell="A1" sqref="A1"/>
    </sheetView>
  </sheetViews>
  <sheetFormatPr baseColWidth="8" defaultRowHeight="15"/>
  <sheetData>
    <row r="1">
      <c r="T1" t="inlineStr">
        <is>
          <t>Total Savings: $847,234</t>
        </is>
      </c>
    </row>
    <row r="2">
      <c r="T2" t="inlineStr">
        <is>
          <t>Savings Rate: 31.2%</t>
        </is>
      </c>
    </row>
    <row r="3">
      <c r="T3" t="inlineStr">
        <is>
          <t>Report Period: Sep-Nov 2025</t>
        </is>
      </c>
    </row>
    <row r="20">
      <c r="A20" t="inlineStr">
        <is>
          <t>Savings Category</t>
        </is>
      </c>
      <c r="B20" t="inlineStr">
        <is>
          <t>Amount</t>
        </is>
      </c>
    </row>
    <row r="21">
      <c r="A21" t="inlineStr">
        <is>
          <t>Negotiated Discount</t>
        </is>
      </c>
      <c r="B21" t="n">
        <v>271485</v>
      </c>
    </row>
    <row r="22">
      <c r="A22" t="inlineStr">
        <is>
          <t>Reserved Instances</t>
        </is>
      </c>
      <c r="B22" t="n">
        <v>312450</v>
      </c>
    </row>
    <row r="23">
      <c r="A23" t="inlineStr">
        <is>
          <t>Savings Plans</t>
        </is>
      </c>
      <c r="B23" t="n">
        <v>156780</v>
      </c>
    </row>
    <row r="24">
      <c r="A24" t="inlineStr">
        <is>
          <t>Azure Hybrid Benefit</t>
        </is>
      </c>
      <c r="B24" t="n">
        <v>78519</v>
      </c>
    </row>
    <row r="25">
      <c r="A25" t="inlineStr">
        <is>
          <t>Dev/Test Pricing</t>
        </is>
      </c>
      <c r="B25" t="n">
        <v>28000</v>
      </c>
    </row>
    <row r="30">
      <c r="A30" t="inlineStr">
        <is>
          <t>Month</t>
        </is>
      </c>
      <c r="B30" t="inlineStr">
        <is>
          <t>Savings ($)</t>
        </is>
      </c>
    </row>
    <row r="31">
      <c r="A31" t="inlineStr">
        <is>
          <t>Sep 2025</t>
        </is>
      </c>
      <c r="B31" t="n">
        <v>267500</v>
      </c>
    </row>
    <row r="32">
      <c r="A32" t="inlineStr">
        <is>
          <t>Oct 2025</t>
        </is>
      </c>
      <c r="B32" t="n">
        <v>285000</v>
      </c>
    </row>
    <row r="33">
      <c r="A33" t="inlineStr">
        <is>
          <t>Nov 2025</t>
        </is>
      </c>
      <c r="B33" t="n">
        <v>294734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Customer Name</t>
        </is>
      </c>
      <c r="B2" t="inlineStr">
        <is>
          <t>Contoso Corporation</t>
        </is>
      </c>
    </row>
    <row r="3">
      <c r="A3" t="inlineStr">
        <is>
          <t>Report Period Start</t>
        </is>
      </c>
      <c r="B3" t="inlineStr">
        <is>
          <t>2025-09-01</t>
        </is>
      </c>
    </row>
    <row r="4">
      <c r="A4" t="inlineStr">
        <is>
          <t>Report Period End</t>
        </is>
      </c>
      <c r="B4" t="inlineStr">
        <is>
          <t>2025-12-01</t>
        </is>
      </c>
    </row>
    <row r="5">
      <c r="A5" t="inlineStr">
        <is>
          <t>Currency</t>
        </is>
      </c>
      <c r="B5" t="inlineStr">
        <is>
          <t>USD</t>
        </is>
      </c>
    </row>
    <row r="6"/>
    <row r="7">
      <c r="A7" t="inlineStr">
        <is>
          <t>Total Retail (List) Cost</t>
        </is>
      </c>
      <c r="B7" t="n">
        <v>2714850</v>
      </c>
    </row>
    <row r="8">
      <c r="A8" t="inlineStr">
        <is>
          <t>Total Negotiated Cost</t>
        </is>
      </c>
      <c r="B8" t="n">
        <v>2443365</v>
      </c>
    </row>
    <row r="9">
      <c r="A9" t="inlineStr">
        <is>
          <t>Total Effective Cost</t>
        </is>
      </c>
      <c r="B9" t="n">
        <v>1867616</v>
      </c>
    </row>
    <row r="10">
      <c r="A10" t="inlineStr">
        <is>
          <t>Total Savings</t>
        </is>
      </c>
      <c r="B10" t="n">
        <v>847234</v>
      </c>
    </row>
    <row r="11">
      <c r="A11" t="inlineStr">
        <is>
          <t>Savings Percentage</t>
        </is>
      </c>
      <c r="B11" t="inlineStr">
        <is>
          <t>31.2%</t>
        </is>
      </c>
    </row>
    <row r="12"/>
    <row r="13">
      <c r="A13" t="inlineStr">
        <is>
          <t>Negotiated Discount Savings</t>
        </is>
      </c>
      <c r="B13" t="n">
        <v>271485</v>
      </c>
    </row>
    <row r="14">
      <c r="A14" t="inlineStr">
        <is>
          <t>Reserved Instance Savings</t>
        </is>
      </c>
      <c r="B14" t="n">
        <v>312450</v>
      </c>
    </row>
    <row r="15">
      <c r="A15" t="inlineStr">
        <is>
          <t>Savings Plan Savings</t>
        </is>
      </c>
      <c r="B15" t="n">
        <v>156780</v>
      </c>
    </row>
    <row r="16">
      <c r="A16" t="inlineStr">
        <is>
          <t>Azure Hybrid Benefit Savings</t>
        </is>
      </c>
      <c r="B16" t="n">
        <v>78519</v>
      </c>
    </row>
    <row r="17">
      <c r="A17" t="inlineStr">
        <is>
          <t>Dev/Test Pricing Savings</t>
        </is>
      </c>
      <c r="B17" t="n">
        <v>28000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ServiceCategory</t>
        </is>
      </c>
      <c r="B1" s="1" t="inlineStr">
        <is>
          <t>ListCost</t>
        </is>
      </c>
      <c r="C1" s="1" t="inlineStr">
        <is>
          <t>BilledCost</t>
        </is>
      </c>
      <c r="D1" s="1" t="inlineStr">
        <is>
          <t>EffectiveCost</t>
        </is>
      </c>
      <c r="E1" s="1" t="inlineStr">
        <is>
          <t>NegotiatedSavings</t>
        </is>
      </c>
      <c r="F1" s="1" t="inlineStr">
        <is>
          <t>CommitmentSavings</t>
        </is>
      </c>
      <c r="G1" s="1" t="inlineStr">
        <is>
          <t>TotalSavings</t>
        </is>
      </c>
      <c r="H1" s="1" t="inlineStr">
        <is>
          <t>SavingsPercentage</t>
        </is>
      </c>
    </row>
    <row r="2">
      <c r="A2" t="inlineStr">
        <is>
          <t>Virtual Machines</t>
        </is>
      </c>
      <c r="B2" t="n">
        <v>1245000</v>
      </c>
      <c r="C2" t="n">
        <v>1120500</v>
      </c>
      <c r="D2" t="n">
        <v>785000</v>
      </c>
      <c r="E2" t="n">
        <v>124500</v>
      </c>
      <c r="F2" t="n">
        <v>335500</v>
      </c>
      <c r="G2" t="n">
        <v>460000</v>
      </c>
      <c r="H2" t="n">
        <v>36.9</v>
      </c>
    </row>
    <row r="3">
      <c r="A3" t="inlineStr">
        <is>
          <t>SQL Database</t>
        </is>
      </c>
      <c r="B3" t="n">
        <v>456000</v>
      </c>
      <c r="C3" t="n">
        <v>410400</v>
      </c>
      <c r="D3" t="n">
        <v>298000</v>
      </c>
      <c r="E3" t="n">
        <v>45600</v>
      </c>
      <c r="F3" t="n">
        <v>112400</v>
      </c>
      <c r="G3" t="n">
        <v>158000</v>
      </c>
      <c r="H3" t="n">
        <v>34.6</v>
      </c>
    </row>
    <row r="4">
      <c r="A4" t="inlineStr">
        <is>
          <t>Azure Kubernetes Service</t>
        </is>
      </c>
      <c r="B4" t="n">
        <v>312000</v>
      </c>
      <c r="C4" t="n">
        <v>280800</v>
      </c>
      <c r="D4" t="n">
        <v>234000</v>
      </c>
      <c r="E4" t="n">
        <v>31200</v>
      </c>
      <c r="F4" t="n">
        <v>46800</v>
      </c>
      <c r="G4" t="n">
        <v>78000</v>
      </c>
      <c r="H4" t="n">
        <v>25</v>
      </c>
    </row>
    <row r="5">
      <c r="A5" t="inlineStr">
        <is>
          <t>Storage Accounts</t>
        </is>
      </c>
      <c r="B5" t="n">
        <v>198500</v>
      </c>
      <c r="C5" t="n">
        <v>178650</v>
      </c>
      <c r="D5" t="n">
        <v>156200</v>
      </c>
      <c r="E5" t="n">
        <v>19850</v>
      </c>
      <c r="F5" t="n">
        <v>22450</v>
      </c>
      <c r="G5" t="n">
        <v>42300</v>
      </c>
      <c r="H5" t="n">
        <v>21.3</v>
      </c>
    </row>
    <row r="6">
      <c r="A6" t="inlineStr">
        <is>
          <t>Azure App Service</t>
        </is>
      </c>
      <c r="B6" t="n">
        <v>156000</v>
      </c>
      <c r="C6" t="n">
        <v>140400</v>
      </c>
      <c r="D6" t="n">
        <v>112000</v>
      </c>
      <c r="E6" t="n">
        <v>15600</v>
      </c>
      <c r="F6" t="n">
        <v>28400</v>
      </c>
      <c r="G6" t="n">
        <v>44000</v>
      </c>
      <c r="H6" t="n">
        <v>28.2</v>
      </c>
    </row>
    <row r="7">
      <c r="A7" t="inlineStr">
        <is>
          <t>Azure Cosmos DB</t>
        </is>
      </c>
      <c r="B7" t="n">
        <v>124350</v>
      </c>
      <c r="C7" t="n">
        <v>111915</v>
      </c>
      <c r="D7" t="n">
        <v>98416</v>
      </c>
      <c r="E7" t="n">
        <v>12435</v>
      </c>
      <c r="F7" t="n">
        <v>13499</v>
      </c>
      <c r="G7" t="n">
        <v>25934</v>
      </c>
      <c r="H7" t="n">
        <v>20.9</v>
      </c>
    </row>
    <row r="8">
      <c r="A8" t="inlineStr">
        <is>
          <t>Networking</t>
        </is>
      </c>
      <c r="B8" t="n">
        <v>98000</v>
      </c>
      <c r="C8" t="n">
        <v>88200</v>
      </c>
      <c r="D8" t="n">
        <v>78000</v>
      </c>
      <c r="E8" t="n">
        <v>9800</v>
      </c>
      <c r="F8" t="n">
        <v>10200</v>
      </c>
      <c r="G8" t="n">
        <v>20000</v>
      </c>
      <c r="H8" t="n">
        <v>20.4</v>
      </c>
    </row>
    <row r="9">
      <c r="A9" t="inlineStr">
        <is>
          <t>Azure Functions</t>
        </is>
      </c>
      <c r="B9" t="n">
        <v>65000</v>
      </c>
      <c r="C9" t="n">
        <v>58500</v>
      </c>
      <c r="D9" t="n">
        <v>52000</v>
      </c>
      <c r="E9" t="n">
        <v>6500</v>
      </c>
      <c r="F9" t="n">
        <v>6500</v>
      </c>
      <c r="G9" t="n">
        <v>13000</v>
      </c>
      <c r="H9" t="n">
        <v>20</v>
      </c>
    </row>
    <row r="10">
      <c r="A10" t="inlineStr">
        <is>
          <t>Azure Monitor</t>
        </is>
      </c>
      <c r="B10" t="n">
        <v>24000</v>
      </c>
      <c r="C10" t="n">
        <v>21600</v>
      </c>
      <c r="D10" t="n">
        <v>18000</v>
      </c>
      <c r="E10" t="n">
        <v>2400</v>
      </c>
      <c r="F10" t="n">
        <v>3600</v>
      </c>
      <c r="G10" t="n">
        <v>6000</v>
      </c>
      <c r="H10" t="n">
        <v>25</v>
      </c>
    </row>
    <row r="11">
      <c r="A11" t="inlineStr">
        <is>
          <t>Key Vault</t>
        </is>
      </c>
      <c r="B11" t="n">
        <v>12000</v>
      </c>
      <c r="C11" t="n">
        <v>10800</v>
      </c>
      <c r="D11" t="n">
        <v>9000</v>
      </c>
      <c r="E11" t="n">
        <v>1200</v>
      </c>
      <c r="F11" t="n">
        <v>1800</v>
      </c>
      <c r="G11" t="n">
        <v>3000</v>
      </c>
      <c r="H11" t="n">
        <v>25</v>
      </c>
    </row>
    <row r="12">
      <c r="A12" t="inlineStr">
        <is>
          <t>Azure Cache for Redis</t>
        </is>
      </c>
      <c r="B12" t="n">
        <v>8500</v>
      </c>
      <c r="C12" t="n">
        <v>7650</v>
      </c>
      <c r="D12" t="n">
        <v>6800</v>
      </c>
      <c r="E12" t="n">
        <v>850</v>
      </c>
      <c r="F12" t="n">
        <v>850</v>
      </c>
      <c r="G12" t="n">
        <v>1700</v>
      </c>
      <c r="H12" t="n">
        <v>20</v>
      </c>
    </row>
    <row r="13">
      <c r="A13" t="inlineStr">
        <is>
          <t>Event Hubs</t>
        </is>
      </c>
      <c r="B13" t="n">
        <v>7200</v>
      </c>
      <c r="C13" t="n">
        <v>6480</v>
      </c>
      <c r="D13" t="n">
        <v>5600</v>
      </c>
      <c r="E13" t="n">
        <v>720</v>
      </c>
      <c r="F13" t="n">
        <v>880</v>
      </c>
      <c r="G13" t="n">
        <v>1600</v>
      </c>
      <c r="H13" t="n">
        <v>22.2</v>
      </c>
    </row>
    <row r="14">
      <c r="A14" t="inlineStr">
        <is>
          <t>Service Bus</t>
        </is>
      </c>
      <c r="B14" t="n">
        <v>5100</v>
      </c>
      <c r="C14" t="n">
        <v>4590</v>
      </c>
      <c r="D14" t="n">
        <v>4000</v>
      </c>
      <c r="E14" t="n">
        <v>510</v>
      </c>
      <c r="F14" t="n">
        <v>590</v>
      </c>
      <c r="G14" t="n">
        <v>1100</v>
      </c>
      <c r="H14" t="n">
        <v>21.6</v>
      </c>
    </row>
    <row r="15">
      <c r="A15" t="inlineStr">
        <is>
          <t>API Management</t>
        </is>
      </c>
      <c r="B15" t="n">
        <v>3200</v>
      </c>
      <c r="C15" t="n">
        <v>2880</v>
      </c>
      <c r="D15" t="n">
        <v>2600</v>
      </c>
      <c r="E15" t="n">
        <v>320</v>
      </c>
      <c r="F15" t="n">
        <v>280</v>
      </c>
      <c r="G15" t="n">
        <v>600</v>
      </c>
      <c r="H15" t="n">
        <v>18.8</v>
      </c>
    </row>
    <row r="16">
      <c r="A16" t="inlineStr">
        <is>
          <t>Other Services</t>
        </is>
      </c>
      <c r="B16" t="n">
        <v>60000</v>
      </c>
      <c r="C16" t="n">
        <v>54000</v>
      </c>
      <c r="D16" t="n">
        <v>54000</v>
      </c>
      <c r="E16" t="n">
        <v>6000</v>
      </c>
      <c r="F16" t="n">
        <v>0</v>
      </c>
      <c r="G16" t="n">
        <v>6000</v>
      </c>
      <c r="H16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SubAccountId</t>
        </is>
      </c>
      <c r="B1" s="1" t="inlineStr">
        <is>
          <t>SubAccountName</t>
        </is>
      </c>
      <c r="C1" s="1" t="inlineStr">
        <is>
          <t>ListCost</t>
        </is>
      </c>
      <c r="D1" s="1" t="inlineStr">
        <is>
          <t>BilledCost</t>
        </is>
      </c>
      <c r="E1" s="1" t="inlineStr">
        <is>
          <t>EffectiveCost</t>
        </is>
      </c>
      <c r="F1" s="1" t="inlineStr">
        <is>
          <t>NegotiatedSavings</t>
        </is>
      </c>
      <c r="G1" s="1" t="inlineStr">
        <is>
          <t>CommitmentSavings</t>
        </is>
      </c>
      <c r="H1" s="1" t="inlineStr">
        <is>
          <t>TotalSavings</t>
        </is>
      </c>
      <c r="I1" s="1" t="inlineStr">
        <is>
          <t>SavingsPercentage</t>
        </is>
      </c>
    </row>
    <row r="2">
      <c r="A2" t="inlineStr">
        <is>
          <t>sub-001-prod</t>
        </is>
      </c>
      <c r="B2" t="inlineStr">
        <is>
          <t>Contoso-Production</t>
        </is>
      </c>
      <c r="C2" t="n">
        <v>1856000</v>
      </c>
      <c r="D2" t="n">
        <v>1670400</v>
      </c>
      <c r="E2" t="n">
        <v>1245000</v>
      </c>
      <c r="F2" t="n">
        <v>185600</v>
      </c>
      <c r="G2" t="n">
        <v>425400</v>
      </c>
      <c r="H2" t="n">
        <v>611000</v>
      </c>
      <c r="I2" t="n">
        <v>32.9</v>
      </c>
    </row>
    <row r="3">
      <c r="A3" t="inlineStr">
        <is>
          <t>sub-002-staging</t>
        </is>
      </c>
      <c r="B3" t="inlineStr">
        <is>
          <t>Contoso-Staging</t>
        </is>
      </c>
      <c r="C3" t="n">
        <v>412000</v>
      </c>
      <c r="D3" t="n">
        <v>370800</v>
      </c>
      <c r="E3" t="n">
        <v>298000</v>
      </c>
      <c r="F3" t="n">
        <v>41200</v>
      </c>
      <c r="G3" t="n">
        <v>72800</v>
      </c>
      <c r="H3" t="n">
        <v>114000</v>
      </c>
      <c r="I3" t="n">
        <v>27.7</v>
      </c>
    </row>
    <row r="4">
      <c r="A4" t="inlineStr">
        <is>
          <t>sub-003-dev</t>
        </is>
      </c>
      <c r="B4" t="inlineStr">
        <is>
          <t>Contoso-Development</t>
        </is>
      </c>
      <c r="C4" t="n">
        <v>246850</v>
      </c>
      <c r="D4" t="n">
        <v>222165</v>
      </c>
      <c r="E4" t="n">
        <v>174616</v>
      </c>
      <c r="F4" t="n">
        <v>24685</v>
      </c>
      <c r="G4" t="n">
        <v>47549</v>
      </c>
      <c r="H4" t="n">
        <v>72234</v>
      </c>
      <c r="I4" t="n">
        <v>29.3</v>
      </c>
    </row>
    <row r="5">
      <c r="A5" t="inlineStr">
        <is>
          <t>sub-004-shared</t>
        </is>
      </c>
      <c r="B5" t="inlineStr">
        <is>
          <t>Contoso-Shared-Services</t>
        </is>
      </c>
      <c r="C5" t="n">
        <v>200000</v>
      </c>
      <c r="D5" t="n">
        <v>180000</v>
      </c>
      <c r="E5" t="n">
        <v>150000</v>
      </c>
      <c r="F5" t="n">
        <v>20000</v>
      </c>
      <c r="G5" t="n">
        <v>30000</v>
      </c>
      <c r="H5" t="n">
        <v>50000</v>
      </c>
      <c r="I5" t="n">
        <v>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ListCost</t>
        </is>
      </c>
      <c r="C1" s="1" t="inlineStr">
        <is>
          <t>BilledCost</t>
        </is>
      </c>
      <c r="D1" s="1" t="inlineStr">
        <is>
          <t>EffectiveCost</t>
        </is>
      </c>
      <c r="E1" s="1" t="inlineStr">
        <is>
          <t>NegotiatedSavings</t>
        </is>
      </c>
      <c r="F1" s="1" t="inlineStr">
        <is>
          <t>CommitmentSavings</t>
        </is>
      </c>
      <c r="G1" s="1" t="inlineStr">
        <is>
          <t>TotalSavings</t>
        </is>
      </c>
      <c r="H1" s="1" t="inlineStr">
        <is>
          <t>SavingsPercentage</t>
        </is>
      </c>
    </row>
    <row r="2">
      <c r="A2" t="inlineStr">
        <is>
          <t>2025-09</t>
        </is>
      </c>
      <c r="B2" t="n">
        <v>892450</v>
      </c>
      <c r="C2" t="n">
        <v>803205</v>
      </c>
      <c r="D2" t="n">
        <v>612000</v>
      </c>
      <c r="E2" t="n">
        <v>89245</v>
      </c>
      <c r="F2" t="n">
        <v>191205</v>
      </c>
      <c r="G2" t="n">
        <v>280450</v>
      </c>
      <c r="H2" t="n">
        <v>31.4</v>
      </c>
    </row>
    <row r="3">
      <c r="A3" t="inlineStr">
        <is>
          <t>2025-10</t>
        </is>
      </c>
      <c r="B3" t="n">
        <v>915200</v>
      </c>
      <c r="C3" t="n">
        <v>823680</v>
      </c>
      <c r="D3" t="n">
        <v>635616</v>
      </c>
      <c r="E3" t="n">
        <v>91520</v>
      </c>
      <c r="F3" t="n">
        <v>188064</v>
      </c>
      <c r="G3" t="n">
        <v>279584</v>
      </c>
      <c r="H3" t="n">
        <v>30.5</v>
      </c>
    </row>
    <row r="4">
      <c r="A4" t="inlineStr">
        <is>
          <t>2025-11</t>
        </is>
      </c>
      <c r="B4" t="n">
        <v>907200</v>
      </c>
      <c r="C4" t="n">
        <v>816480</v>
      </c>
      <c r="D4" t="n">
        <v>620000</v>
      </c>
      <c r="E4" t="n">
        <v>90720</v>
      </c>
      <c r="F4" t="n">
        <v>196480</v>
      </c>
      <c r="G4" t="n">
        <v>287200</v>
      </c>
      <c r="H4" t="n">
        <v>31.7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ResourceId</t>
        </is>
      </c>
      <c r="B1" s="1" t="inlineStr">
        <is>
          <t>ResourceName</t>
        </is>
      </c>
      <c r="C1" s="1" t="inlineStr">
        <is>
          <t>ServiceCategory</t>
        </is>
      </c>
      <c r="D1" s="1" t="inlineStr">
        <is>
          <t>SavingsCategory</t>
        </is>
      </c>
      <c r="E1" s="1" t="inlineStr">
        <is>
          <t>ListCost</t>
        </is>
      </c>
      <c r="F1" s="1" t="inlineStr">
        <is>
          <t>EffectiveCost</t>
        </is>
      </c>
      <c r="G1" s="1" t="inlineStr">
        <is>
          <t>TotalSavings</t>
        </is>
      </c>
      <c r="H1" s="1" t="inlineStr">
        <is>
          <t>SavingsPercentage</t>
        </is>
      </c>
    </row>
    <row r="2">
      <c r="A2" t="inlineStr">
        <is>
          <t>/subscriptions/sub-001/resourceGroups/rg-prod/providers/Microsoft.Sql/servers/prod-sql-primary</t>
        </is>
      </c>
      <c r="B2" t="inlineStr">
        <is>
          <t>prod-sql-primary</t>
        </is>
      </c>
      <c r="C2" t="inlineStr">
        <is>
          <t>SQL Database</t>
        </is>
      </c>
      <c r="D2" t="inlineStr">
        <is>
          <t>Reserved Instance</t>
        </is>
      </c>
      <c r="E2" t="n">
        <v>98000</v>
      </c>
      <c r="F2" t="n">
        <v>52400</v>
      </c>
      <c r="G2" t="n">
        <v>45600</v>
      </c>
      <c r="H2" t="n">
        <v>46.5</v>
      </c>
    </row>
    <row r="3">
      <c r="A3" t="inlineStr">
        <is>
          <t>/subscriptions/sub-001/resourceGroups/rg-prod/providers/Microsoft.ContainerService/managedClusters/prod-aks-cluster-01</t>
        </is>
      </c>
      <c r="B3" t="inlineStr">
        <is>
          <t>prod-aks-cluster-01</t>
        </is>
      </c>
      <c r="C3" t="inlineStr">
        <is>
          <t>Azure Kubernetes Service</t>
        </is>
      </c>
      <c r="D3" t="inlineStr">
        <is>
          <t>Savings Plan</t>
        </is>
      </c>
      <c r="E3" t="n">
        <v>78500</v>
      </c>
      <c r="F3" t="n">
        <v>40300</v>
      </c>
      <c r="G3" t="n">
        <v>38200</v>
      </c>
      <c r="H3" t="n">
        <v>48.7</v>
      </c>
    </row>
    <row r="4">
      <c r="A4" t="inlineStr">
        <is>
          <t>/subscriptions/sub-001/resourceGroups/rg-prod/providers/Microsoft.Compute/virtualMachines/prod-vm-app-server-01</t>
        </is>
      </c>
      <c r="B4" t="inlineStr">
        <is>
          <t>prod-vm-app-server-01</t>
        </is>
      </c>
      <c r="C4" t="inlineStr">
        <is>
          <t>Virtual Machines</t>
        </is>
      </c>
      <c r="D4" t="inlineStr">
        <is>
          <t>RI + AHB</t>
        </is>
      </c>
      <c r="E4" t="n">
        <v>65400</v>
      </c>
      <c r="F4" t="n">
        <v>33300</v>
      </c>
      <c r="G4" t="n">
        <v>32100</v>
      </c>
      <c r="H4" t="n">
        <v>49.1</v>
      </c>
    </row>
    <row r="5">
      <c r="A5" t="inlineStr">
        <is>
          <t>/subscriptions/sub-001/resourceGroups/rg-prod/providers/Microsoft.Compute/virtualMachineScaleSets/prod-vm-web-cluster</t>
        </is>
      </c>
      <c r="B5" t="inlineStr">
        <is>
          <t>prod-vm-web-cluster</t>
        </is>
      </c>
      <c r="C5" t="inlineStr">
        <is>
          <t>Virtual Machines</t>
        </is>
      </c>
      <c r="D5" t="inlineStr">
        <is>
          <t>Reserved Instance</t>
        </is>
      </c>
      <c r="E5" t="n">
        <v>58900</v>
      </c>
      <c r="F5" t="n">
        <v>30000</v>
      </c>
      <c r="G5" t="n">
        <v>28900</v>
      </c>
      <c r="H5" t="n">
        <v>49.1</v>
      </c>
    </row>
    <row r="6">
      <c r="A6" t="inlineStr">
        <is>
          <t>/subscriptions/sub-001/resourceGroups/rg-prod/providers/Microsoft.DocumentDB/databaseAccounts/prod-cosmos-orders</t>
        </is>
      </c>
      <c r="B6" t="inlineStr">
        <is>
          <t>prod-cosmos-orders</t>
        </is>
      </c>
      <c r="C6" t="inlineStr">
        <is>
          <t>Azure Cosmos DB</t>
        </is>
      </c>
      <c r="D6" t="inlineStr">
        <is>
          <t>Negotiated Discount</t>
        </is>
      </c>
      <c r="E6" t="n">
        <v>45600</v>
      </c>
      <c r="F6" t="n">
        <v>27150</v>
      </c>
      <c r="G6" t="n">
        <v>18450</v>
      </c>
      <c r="H6" t="n">
        <v>40.5</v>
      </c>
    </row>
    <row r="7">
      <c r="A7" t="inlineStr">
        <is>
          <t>/subscriptions/sub-003/resourceGroups/rg-dev/providers/Microsoft.Compute/virtualMachineScaleSets/dev-vm-pool</t>
        </is>
      </c>
      <c r="B7" t="inlineStr">
        <is>
          <t>dev-vm-pool</t>
        </is>
      </c>
      <c r="C7" t="inlineStr">
        <is>
          <t>Virtual Machines</t>
        </is>
      </c>
      <c r="D7" t="inlineStr">
        <is>
          <t>Dev/Test Pricing</t>
        </is>
      </c>
      <c r="E7" t="n">
        <v>38000</v>
      </c>
      <c r="F7" t="n">
        <v>22800</v>
      </c>
      <c r="G7" t="n">
        <v>15200</v>
      </c>
      <c r="H7" t="n">
        <v>40</v>
      </c>
    </row>
    <row r="8">
      <c r="A8" t="inlineStr">
        <is>
          <t>/subscriptions/sub-001/resourceGroups/rg-prod/providers/Microsoft.Sql/servers/prod-sql-analytics</t>
        </is>
      </c>
      <c r="B8" t="inlineStr">
        <is>
          <t>prod-sql-analytics</t>
        </is>
      </c>
      <c r="C8" t="inlineStr">
        <is>
          <t>SQL Database</t>
        </is>
      </c>
      <c r="D8" t="inlineStr">
        <is>
          <t>RI + AHB</t>
        </is>
      </c>
      <c r="E8" t="n">
        <v>35200</v>
      </c>
      <c r="F8" t="n">
        <v>20400</v>
      </c>
      <c r="G8" t="n">
        <v>14800</v>
      </c>
      <c r="H8" t="n">
        <v>42</v>
      </c>
    </row>
    <row r="9">
      <c r="A9" t="inlineStr">
        <is>
          <t>/subscriptions/sub-001/resourceGroups/rg-prod/providers/Microsoft.Web/serverFarms/prod-app-service-plan</t>
        </is>
      </c>
      <c r="B9" t="inlineStr">
        <is>
          <t>prod-app-service-plan</t>
        </is>
      </c>
      <c r="C9" t="inlineStr">
        <is>
          <t>Azure App Service</t>
        </is>
      </c>
      <c r="D9" t="inlineStr">
        <is>
          <t>Savings Plan</t>
        </is>
      </c>
      <c r="E9" t="n">
        <v>28600</v>
      </c>
      <c r="F9" t="n">
        <v>16000</v>
      </c>
      <c r="G9" t="n">
        <v>12600</v>
      </c>
      <c r="H9" t="n">
        <v>44.1</v>
      </c>
    </row>
    <row r="10">
      <c r="A10" t="inlineStr">
        <is>
          <t>/subscriptions/sub-001/resourceGroups/rg-prod/providers/Microsoft.Cache/Redis/prod-redis-cache</t>
        </is>
      </c>
      <c r="B10" t="inlineStr">
        <is>
          <t>prod-redis-cache</t>
        </is>
      </c>
      <c r="C10" t="inlineStr">
        <is>
          <t>Azure Cache for Redis</t>
        </is>
      </c>
      <c r="D10" t="inlineStr">
        <is>
          <t>Reserved Instance</t>
        </is>
      </c>
      <c r="E10" t="n">
        <v>18500</v>
      </c>
      <c r="F10" t="n">
        <v>12200</v>
      </c>
      <c r="G10" t="n">
        <v>6300</v>
      </c>
      <c r="H10" t="n">
        <v>34.1</v>
      </c>
    </row>
    <row r="11">
      <c r="A11" t="inlineStr">
        <is>
          <t>/subscriptions/sub-002/resourceGroups/rg-staging/providers/Microsoft.Compute/virtualMachines/staging-vm-01</t>
        </is>
      </c>
      <c r="B11" t="inlineStr">
        <is>
          <t>staging-vm-01</t>
        </is>
      </c>
      <c r="C11" t="inlineStr">
        <is>
          <t>Virtual Machines</t>
        </is>
      </c>
      <c r="D11" t="inlineStr">
        <is>
          <t>Savings Plan</t>
        </is>
      </c>
      <c r="E11" t="n">
        <v>22400</v>
      </c>
      <c r="F11" t="n">
        <v>14800</v>
      </c>
      <c r="G11" t="n">
        <v>7600</v>
      </c>
      <c r="H11" t="n">
        <v>33.9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ReservationId</t>
        </is>
      </c>
      <c r="B1" s="1" t="inlineStr">
        <is>
          <t>ReservationName</t>
        </is>
      </c>
      <c r="C1" s="1" t="inlineStr">
        <is>
          <t>ServiceCategory</t>
        </is>
      </c>
      <c r="D1" s="1" t="inlineStr">
        <is>
          <t>Term</t>
        </is>
      </c>
      <c r="E1" s="1" t="inlineStr">
        <is>
          <t>QuantityPurchased</t>
        </is>
      </c>
      <c r="F1" s="1" t="inlineStr">
        <is>
          <t>QuantityUsed</t>
        </is>
      </c>
      <c r="G1" s="1" t="inlineStr">
        <is>
          <t>Utilization</t>
        </is>
      </c>
      <c r="H1" s="1" t="inlineStr">
        <is>
          <t>ListCost</t>
        </is>
      </c>
      <c r="I1" s="1" t="inlineStr">
        <is>
          <t>EffectiveCost</t>
        </is>
      </c>
      <c r="J1" s="1" t="inlineStr">
        <is>
          <t>Savings</t>
        </is>
      </c>
    </row>
    <row r="2">
      <c r="A2" t="inlineStr">
        <is>
          <t>ri-001</t>
        </is>
      </c>
      <c r="B2" t="inlineStr">
        <is>
          <t>RI-Prod-VMs-EastUS</t>
        </is>
      </c>
      <c r="C2" t="inlineStr">
        <is>
          <t>Virtual Machines</t>
        </is>
      </c>
      <c r="D2" t="inlineStr">
        <is>
          <t>3 Year</t>
        </is>
      </c>
      <c r="E2" t="n">
        <v>50</v>
      </c>
      <c r="F2" t="n">
        <v>47.1</v>
      </c>
      <c r="G2" t="inlineStr">
        <is>
          <t>94.2%</t>
        </is>
      </c>
      <c r="H2" t="n">
        <v>312000</v>
      </c>
      <c r="I2" t="n">
        <v>156000</v>
      </c>
      <c r="J2" t="n">
        <v>156000</v>
      </c>
    </row>
    <row r="3">
      <c r="A3" t="inlineStr">
        <is>
          <t>ri-002</t>
        </is>
      </c>
      <c r="B3" t="inlineStr">
        <is>
          <t>RI-SQL-Premium</t>
        </is>
      </c>
      <c r="C3" t="inlineStr">
        <is>
          <t>SQL Database</t>
        </is>
      </c>
      <c r="D3" t="inlineStr">
        <is>
          <t>3 Year</t>
        </is>
      </c>
      <c r="E3" t="n">
        <v>20</v>
      </c>
      <c r="F3" t="n">
        <v>17.7</v>
      </c>
      <c r="G3" t="inlineStr">
        <is>
          <t>88.5%</t>
        </is>
      </c>
      <c r="H3" t="n">
        <v>178900</v>
      </c>
      <c r="I3" t="n">
        <v>89450</v>
      </c>
      <c r="J3" t="n">
        <v>89450</v>
      </c>
    </row>
    <row r="4">
      <c r="A4" t="inlineStr">
        <is>
          <t>ri-003</t>
        </is>
      </c>
      <c r="B4" t="inlineStr">
        <is>
          <t>RI-Prod-VMs-WestUS</t>
        </is>
      </c>
      <c r="C4" t="inlineStr">
        <is>
          <t>Virtual Machines</t>
        </is>
      </c>
      <c r="D4" t="inlineStr">
        <is>
          <t>1 Year</t>
        </is>
      </c>
      <c r="E4" t="n">
        <v>25</v>
      </c>
      <c r="F4" t="n">
        <v>22.8</v>
      </c>
      <c r="G4" t="inlineStr">
        <is>
          <t>91.3%</t>
        </is>
      </c>
      <c r="H4" t="n">
        <v>134000</v>
      </c>
      <c r="I4" t="n">
        <v>67000</v>
      </c>
      <c r="J4" t="n">
        <v>67000</v>
      </c>
    </row>
    <row r="5">
      <c r="A5" t="inlineStr">
        <is>
          <t>ri-004</t>
        </is>
      </c>
      <c r="B5" t="inlineStr">
        <is>
          <t>RI-CosmosDB-Reserved</t>
        </is>
      </c>
      <c r="C5" t="inlineStr">
        <is>
          <t>Azure Cosmos DB</t>
        </is>
      </c>
      <c r="D5" t="inlineStr">
        <is>
          <t>1 Year</t>
        </is>
      </c>
      <c r="E5" t="n">
        <v>10</v>
      </c>
      <c r="F5" t="n">
        <v>8.5</v>
      </c>
      <c r="G5" t="inlineStr">
        <is>
          <t>85.0%</t>
        </is>
      </c>
      <c r="H5" t="n">
        <v>45000</v>
      </c>
      <c r="I5" t="n">
        <v>24500</v>
      </c>
      <c r="J5" t="n">
        <v>20500</v>
      </c>
    </row>
    <row r="6">
      <c r="A6" t="inlineStr">
        <is>
          <t>ri-005</t>
        </is>
      </c>
      <c r="B6" t="inlineStr">
        <is>
          <t>RI-Redis-Cache</t>
        </is>
      </c>
      <c r="C6" t="inlineStr">
        <is>
          <t>Azure Cache for Redis</t>
        </is>
      </c>
      <c r="D6" t="inlineStr">
        <is>
          <t>1 Year</t>
        </is>
      </c>
      <c r="E6" t="n">
        <v>5</v>
      </c>
      <c r="F6" t="n">
        <v>4.2</v>
      </c>
      <c r="G6" t="inlineStr">
        <is>
          <t>84.0%</t>
        </is>
      </c>
      <c r="H6" t="n">
        <v>18500</v>
      </c>
      <c r="I6" t="n">
        <v>12200</v>
      </c>
      <c r="J6" t="n">
        <v>6300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SavingsPlanId</t>
        </is>
      </c>
      <c r="B1" s="1" t="inlineStr">
        <is>
          <t>SavingsPlanName</t>
        </is>
      </c>
      <c r="C1" s="1" t="inlineStr">
        <is>
          <t>Term</t>
        </is>
      </c>
      <c r="D1" s="1" t="inlineStr">
        <is>
          <t>HourlyCommitment</t>
        </is>
      </c>
      <c r="E1" s="1" t="inlineStr">
        <is>
          <t>MonthlyCommitment</t>
        </is>
      </c>
      <c r="F1" s="1" t="inlineStr">
        <is>
          <t>Utilization</t>
        </is>
      </c>
      <c r="G1" s="1" t="inlineStr">
        <is>
          <t>CoveredServices</t>
        </is>
      </c>
      <c r="H1" s="1" t="inlineStr">
        <is>
          <t>ListCostCovered</t>
        </is>
      </c>
      <c r="I1" s="1" t="inlineStr">
        <is>
          <t>EffectiveCost</t>
        </is>
      </c>
      <c r="J1" s="1" t="inlineStr">
        <is>
          <t>Savings</t>
        </is>
      </c>
    </row>
    <row r="2">
      <c r="A2" t="inlineStr">
        <is>
          <t>sp-001</t>
        </is>
      </c>
      <c r="B2" t="inlineStr">
        <is>
          <t>SP-Compute-3Year</t>
        </is>
      </c>
      <c r="C2" t="inlineStr">
        <is>
          <t>3 Year</t>
        </is>
      </c>
      <c r="D2" t="n">
        <v>68.48999999999999</v>
      </c>
      <c r="E2" t="n">
        <v>50000</v>
      </c>
      <c r="F2" t="inlineStr">
        <is>
          <t>96.8%</t>
        </is>
      </c>
      <c r="G2" t="inlineStr">
        <is>
          <t>VMs, AKS, App Service, Functions</t>
        </is>
      </c>
      <c r="H2" t="n">
        <v>245000</v>
      </c>
      <c r="I2" t="n">
        <v>146220</v>
      </c>
      <c r="J2" t="n">
        <v>98780</v>
      </c>
    </row>
    <row r="3">
      <c r="A3" t="inlineStr">
        <is>
          <t>sp-002</t>
        </is>
      </c>
      <c r="B3" t="inlineStr">
        <is>
          <t>SP-Compute-1Year</t>
        </is>
      </c>
      <c r="C3" t="inlineStr">
        <is>
          <t>1 Year</t>
        </is>
      </c>
      <c r="D3" t="n">
        <v>34.25</v>
      </c>
      <c r="E3" t="n">
        <v>25000</v>
      </c>
      <c r="F3" t="inlineStr">
        <is>
          <t>92.1%</t>
        </is>
      </c>
      <c r="G3" t="inlineStr">
        <is>
          <t>VMs, AKS</t>
        </is>
      </c>
      <c r="H3" t="n">
        <v>142000</v>
      </c>
      <c r="I3" t="n">
        <v>84000</v>
      </c>
      <c r="J3" t="n">
        <v>58000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LicenseType</t>
        </is>
      </c>
      <c r="B1" s="1" t="inlineStr">
        <is>
          <t>ResourceCount</t>
        </is>
      </c>
      <c r="C1" s="1" t="inlineStr">
        <is>
          <t>ListCost</t>
        </is>
      </c>
      <c r="D1" s="1" t="inlineStr">
        <is>
          <t>EffectiveCost</t>
        </is>
      </c>
      <c r="E1" s="1" t="inlineStr">
        <is>
          <t>Savings</t>
        </is>
      </c>
      <c r="F1" s="1" t="inlineStr">
        <is>
          <t>SavingsPercentage</t>
        </is>
      </c>
    </row>
    <row r="2">
      <c r="A2" t="inlineStr">
        <is>
          <t>Windows Server</t>
        </is>
      </c>
      <c r="B2" t="n">
        <v>45</v>
      </c>
      <c r="C2" t="n">
        <v>89500</v>
      </c>
      <c r="D2" t="n">
        <v>45000</v>
      </c>
      <c r="E2" t="n">
        <v>44500</v>
      </c>
      <c r="F2" t="inlineStr">
        <is>
          <t>49.7%</t>
        </is>
      </c>
    </row>
    <row r="3">
      <c r="A3" t="inlineStr">
        <is>
          <t>SQL Server Standard</t>
        </is>
      </c>
      <c r="B3" t="n">
        <v>12</v>
      </c>
      <c r="C3" t="n">
        <v>56000</v>
      </c>
      <c r="D3" t="n">
        <v>35981</v>
      </c>
      <c r="E3" t="n">
        <v>20019</v>
      </c>
      <c r="F3" t="inlineStr">
        <is>
          <t>35.7%</t>
        </is>
      </c>
    </row>
    <row r="4">
      <c r="A4" t="inlineStr">
        <is>
          <t>SQL Server Enterprise</t>
        </is>
      </c>
      <c r="B4" t="n">
        <v>5</v>
      </c>
      <c r="C4" t="n">
        <v>42000</v>
      </c>
      <c r="D4" t="n">
        <v>28000</v>
      </c>
      <c r="E4" t="n">
        <v>14000</v>
      </c>
      <c r="F4" t="inlineStr">
        <is>
          <t>33.3%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2025-12-05T02:29:27Z</dcterms:created>
  <dcterms:modified xsi:type="dcterms:W3CDTF">2025-12-05T02:29:27Z</dcterms:modified>
</cp:coreProperties>
</file>